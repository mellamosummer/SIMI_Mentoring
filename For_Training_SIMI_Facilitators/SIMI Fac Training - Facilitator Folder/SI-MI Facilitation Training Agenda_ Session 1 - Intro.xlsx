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tc={4d56f616-4693-42fe-9af0-5afaba9b5243}</author>
  </authors>
  <commentList>
    <comment authorId="0" xr:uid="{4d56f616-4693-42fe-9af0-5afaba9b5243}" ref="G10">
      <text>
        <t xml:space="preserve">[Threaded comment]
 Your version of Excel allows you to read this threaded comment; however, any edits to it will get removed if the file is opened in a newer version of Excel. Learn more: https://go.microsoft.com/fwlink/?linkid=870924
Comment:
	In the ones with breakout rooms, I would try to be sure it says how is the set up. Sometimes before closing will give a 60 second warning, so it end up being 4 minutes for example
</t>
      </text>
    </comment>
  </commentList>
</comments>
</file>

<file path=xl/sharedStrings.xml><?xml version="1.0" encoding="utf-8"?>
<sst xmlns="http://schemas.openxmlformats.org/spreadsheetml/2006/main" count="60" uniqueCount="52">
  <si>
    <t>Time Stamp (EST)</t>
  </si>
  <si>
    <t>Length (mins)</t>
  </si>
  <si>
    <t>Title</t>
  </si>
  <si>
    <t>Facilitator</t>
  </si>
  <si>
    <t>Description / Context</t>
  </si>
  <si>
    <t>Content</t>
  </si>
  <si>
    <t>Facilitator Notes</t>
  </si>
  <si>
    <t>Copy/Paste</t>
  </si>
  <si>
    <t xml:space="preserve">RECORD + ENABLE LIVE TRANSCRIPT     RECORD + ENABLE LIVE TRANSCRIPT			     RECORD + ENABLE LIVE TRANSCRIPT			</t>
  </si>
  <si>
    <t>Check-In</t>
  </si>
  <si>
    <t>ALL</t>
  </si>
  <si>
    <t>All facilitators login early</t>
  </si>
  <si>
    <t>--</t>
  </si>
  <si>
    <t>Ice Breaker</t>
  </si>
  <si>
    <t>Fac1</t>
  </si>
  <si>
    <r>
      <rPr>
        <rFont val="Montserrat"/>
        <b/>
        <color theme="1"/>
        <sz val="11.0"/>
      </rPr>
      <t>FACILITATOR</t>
    </r>
    <r>
      <rPr>
        <rFont val="Montserrat"/>
        <color theme="1"/>
        <sz val="11.0"/>
      </rPr>
      <t>:
As participants arrive:
"Welcome! We'll be starting in a few minutes. In the meantime, share one word in the chat that describes how you are feeling today."</t>
    </r>
  </si>
  <si>
    <t>- Intro Slide</t>
  </si>
  <si>
    <t>Welcome! We'll be starting in a few minutes. In the meantime, share one word in the chat that describes how you are feeling today.</t>
  </si>
  <si>
    <t>Welcome/Intro</t>
  </si>
  <si>
    <r>
      <rPr>
        <rFont val="Montserrat"/>
        <b/>
        <color theme="1"/>
        <sz val="11.0"/>
      </rPr>
      <t>FACILITATOR</t>
    </r>
    <r>
      <rPr>
        <rFont val="Montserrat"/>
        <color theme="1"/>
        <sz val="11.0"/>
      </rPr>
      <t>:
"Thank you so much for joining us, we are really excited to be here! Let's start by understanding the context for why we're here."</t>
    </r>
  </si>
  <si>
    <t>- ROOT &amp; SHOOT intro slide
- SI-MI intro slide</t>
  </si>
  <si>
    <t>Team Intro</t>
  </si>
  <si>
    <r>
      <rPr>
        <rFont val="Montserrat"/>
        <b/>
        <color theme="1"/>
        <sz val="11.0"/>
      </rPr>
      <t xml:space="preserve">FACILITATOR:
</t>
    </r>
    <r>
      <rPr>
        <rFont val="Montserrat"/>
        <color theme="1"/>
        <sz val="11.0"/>
      </rPr>
      <t>"If you're in the SI-MI Core Team, please raise your hand and say your name, pronouns, role, and how long you've been involved with ROOT &amp; SHOOT"</t>
    </r>
  </si>
  <si>
    <t>- SI-MI Core Team Slide</t>
  </si>
  <si>
    <t>Name
Pronouns
Role
Length of time at ROOT &amp; SHOOT</t>
  </si>
  <si>
    <t>SI-MI Overview</t>
  </si>
  <si>
    <r>
      <rPr>
        <rFont val="Montserrat"/>
        <b/>
        <color theme="1"/>
        <sz val="11.0"/>
      </rPr>
      <t xml:space="preserve">FACILITATOR:
</t>
    </r>
    <r>
      <rPr>
        <rFont val="Montserrat"/>
        <color theme="1"/>
        <sz val="11.0"/>
      </rPr>
      <t xml:space="preserve">"Thanks to the hard work of these wonderful people and the feedback from our beta testers, we are able to teach y'all how to facilitate the SI-MI course to future participants."
</t>
    </r>
    <r>
      <rPr>
        <rFont val="Montserrat"/>
        <b/>
        <color theme="1"/>
        <sz val="11.0"/>
      </rPr>
      <t xml:space="preserve">FACILITATOR:
</t>
    </r>
    <r>
      <rPr>
        <rFont val="Montserrat"/>
        <color theme="1"/>
        <sz val="11.0"/>
      </rPr>
      <t xml:space="preserve">
"Many of you have probably experienced at least one training about mentoring in your career, but SI-MI is a different type of learning experience altogether."</t>
    </r>
  </si>
  <si>
    <t>- SI-MI FTP Training Slide
- What SI-MI is NOT slide
- What SI-MI IS slide</t>
  </si>
  <si>
    <t>SI-MI Vibe</t>
  </si>
  <si>
    <r>
      <rPr>
        <rFont val="Montserrat"/>
        <b/>
        <color theme="1"/>
        <sz val="11.0"/>
      </rPr>
      <t xml:space="preserve">FACILITATOR:
</t>
    </r>
    <r>
      <rPr>
        <rFont val="Montserrat"/>
        <color theme="1"/>
        <sz val="11.0"/>
      </rPr>
      <t>"In addition to the different approach and content, the cultural environment of SI-MI is not what you might expect from science or academia."</t>
    </r>
  </si>
  <si>
    <t>- The SI-MI Vibe</t>
  </si>
  <si>
    <t>Facilitator Structure</t>
  </si>
  <si>
    <r>
      <rPr>
        <rFont val="Montserrat"/>
        <b/>
        <color theme="1"/>
        <sz val="11.0"/>
      </rPr>
      <t xml:space="preserve">FACILITATOR:
</t>
    </r>
    <r>
      <rPr>
        <rFont val="Montserrat"/>
        <b val="0"/>
        <color theme="1"/>
        <sz val="11.0"/>
      </rPr>
      <t>"Teaching a virtual course is a whole production, so we have a  distinct facilitator structure to ensure each 90 minute live session runs as smoothly as possible."</t>
    </r>
  </si>
  <si>
    <t>- Facilitator Structure Slide</t>
  </si>
  <si>
    <t>(FAC2 Breakouts)</t>
  </si>
  <si>
    <t>Fac2</t>
  </si>
  <si>
    <t>FAC2 SETS UP BREAKOUT ROOMS</t>
  </si>
  <si>
    <r>
      <rPr>
        <rFont val="Montserrat"/>
        <b/>
        <color theme="1"/>
        <sz val="11.0"/>
      </rPr>
      <t xml:space="preserve">FACILITATOR 2:
</t>
    </r>
    <r>
      <rPr>
        <rFont val="Montserrat"/>
        <color theme="1"/>
        <sz val="11.0"/>
      </rPr>
      <t>- Pairs
- Random assignments
- Automatically move into rooms
- 3 minutes/round
- Copy paste questions one at a time in the chat before each round
- EACH ROUND GETS A DIFFERENT QUESTION</t>
    </r>
  </si>
  <si>
    <t>Intro: Round Robin</t>
  </si>
  <si>
    <t>Fac1, Fac2</t>
  </si>
  <si>
    <r>
      <rPr>
        <rFont val="Montserrat"/>
        <b/>
        <color theme="1"/>
        <sz val="11.0"/>
      </rPr>
      <t xml:space="preserve">
FACILITATOR:
</t>
    </r>
    <r>
      <rPr>
        <rFont val="Montserrat"/>
        <color theme="1"/>
        <sz val="11.0"/>
      </rPr>
      <t>"We want to set the tone and prepare you for the SI-MI course, as well as get to know all of you. To model what we will ask of our participants, we want to practice vulnerabilty to develop trust with one another.
For this activity, we will split into random pairs, introduce ourselves, answer the prompts, and then do it again with someone else. Ready?"</t>
    </r>
  </si>
  <si>
    <t>- Round Robin Slide</t>
  </si>
  <si>
    <r>
      <rPr>
        <rFont val="Montserrat"/>
        <b/>
        <color theme="1"/>
        <sz val="11.0"/>
      </rPr>
      <t xml:space="preserve">FACILITATOR 2:
</t>
    </r>
    <r>
      <rPr>
        <rFont val="Montserrat"/>
        <color theme="1"/>
        <sz val="11.0"/>
      </rPr>
      <t>- Pairs
- Random assignments
- Automatically move into rooms
- 3 minutes/round
- Copy paste questions one at a time in the chat before each round
- EACH ROUND GETS A DIFFERENT QUESTION</t>
    </r>
  </si>
  <si>
    <r>
      <rPr>
        <rFont val="Montserrat"/>
        <b/>
        <color theme="1"/>
        <sz val="11.0"/>
      </rPr>
      <t>Round 1</t>
    </r>
    <r>
      <rPr>
        <rFont val="Montserrat"/>
        <color theme="1"/>
        <sz val="11.0"/>
      </rPr>
      <t xml:space="preserve">: What activity or hobby makes you feel joy?
</t>
    </r>
    <r>
      <rPr>
        <rFont val="Montserrat"/>
        <b/>
        <color theme="1"/>
        <sz val="11.0"/>
      </rPr>
      <t>Round 2:</t>
    </r>
    <r>
      <rPr>
        <rFont val="Montserrat"/>
        <color theme="1"/>
        <sz val="11.0"/>
      </rPr>
      <t xml:space="preserve"> What place feels the most like home?
</t>
    </r>
    <r>
      <rPr>
        <rFont val="Montserrat"/>
        <b/>
        <color theme="1"/>
        <sz val="11.0"/>
      </rPr>
      <t>Round 3</t>
    </r>
    <r>
      <rPr>
        <rFont val="Montserrat"/>
        <color theme="1"/>
        <sz val="11.0"/>
      </rPr>
      <t>: What life lesson are you learning right now?</t>
    </r>
  </si>
  <si>
    <t>Activity: Round Robin</t>
  </si>
  <si>
    <r>
      <rPr>
        <rFont val="Montserrat"/>
        <b/>
        <color theme="1"/>
        <sz val="11.0"/>
      </rPr>
      <t>FACILITATOR</t>
    </r>
    <r>
      <rPr>
        <rFont val="Montserrat"/>
        <color theme="1"/>
        <sz val="11.0"/>
      </rPr>
      <t>:
"Let's head into our first breakout room."</t>
    </r>
  </si>
  <si>
    <t>- Facilitators may join the Round Robin to get to know participants</t>
  </si>
  <si>
    <r>
      <rPr>
        <rFont val="Montserrat"/>
        <b/>
        <color theme="1"/>
        <sz val="11.0"/>
      </rPr>
      <t>Round 1</t>
    </r>
    <r>
      <rPr>
        <rFont val="Montserrat"/>
        <color theme="1"/>
        <sz val="11.0"/>
      </rPr>
      <t xml:space="preserve">: What activity or hobby makes you feel joy?
</t>
    </r>
    <r>
      <rPr>
        <rFont val="Montserrat"/>
        <b/>
        <color theme="1"/>
        <sz val="11.0"/>
      </rPr>
      <t>Round 2:</t>
    </r>
    <r>
      <rPr>
        <rFont val="Montserrat"/>
        <color theme="1"/>
        <sz val="11.0"/>
      </rPr>
      <t xml:space="preserve"> What place feels the most like home?
</t>
    </r>
    <r>
      <rPr>
        <rFont val="Montserrat"/>
        <b/>
        <color theme="1"/>
        <sz val="11.0"/>
      </rPr>
      <t>Round 3</t>
    </r>
    <r>
      <rPr>
        <rFont val="Montserrat"/>
        <color theme="1"/>
        <sz val="11.0"/>
      </rPr>
      <t>: What life lesson are you learning right now?</t>
    </r>
  </si>
  <si>
    <t xml:space="preserve">Break </t>
  </si>
  <si>
    <r>
      <rPr>
        <rFont val="Montserrat"/>
        <b/>
        <color theme="1"/>
        <sz val="11.0"/>
      </rPr>
      <t>FACILITATOR</t>
    </r>
    <r>
      <rPr>
        <rFont val="Montserrat"/>
        <color theme="1"/>
        <sz val="11.0"/>
      </rPr>
      <t>:
"We want to care for our bodies, so let's take our first break! Get a snack, stretch your legs, drink some water, whatever your body needs."</t>
    </r>
  </si>
  <si>
    <t>SHARE SCREEN</t>
  </si>
  <si>
    <t>Total Time (mins):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</si>
</sst>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am/pm"/>
  </numFmts>
  <fonts count="7">
    <font>
      <sz val="10.0"/>
      <color rgb="FF000000"/>
      <name val="Arial"/>
      <scheme val="minor"/>
    </font>
    <font>
      <b/>
      <sz val="11.0"/>
      <color rgb="FFFFFFFF"/>
      <name val="Montserrat"/>
    </font>
    <font>
      <sz val="11.0"/>
      <color theme="1"/>
      <name val="Montserrat"/>
    </font>
    <font>
      <b/>
      <sz val="18.0"/>
      <color rgb="FFFFFFFF"/>
      <name val="Montserrat"/>
    </font>
    <font>
      <b/>
      <sz val="11.0"/>
      <color theme="1"/>
      <name val="Montserrat"/>
    </font>
    <font>
      <color theme="1"/>
      <name val="Montserrat"/>
    </font>
    <font>
      <u/>
      <sz val="11.0"/>
      <color rgb="FF0000FF"/>
      <name val="Montserrat"/>
    </font>
  </fonts>
  <fills count="7">
    <fill>
      <patternFill patternType="none"/>
    </fill>
    <fill>
      <patternFill patternType="lightGray"/>
    </fill>
    <fill>
      <patternFill patternType="solid">
        <fgColor rgb="FFF46524"/>
        <bgColor rgb="FFF46524"/>
      </patternFill>
    </fill>
    <fill>
      <patternFill patternType="solid">
        <fgColor rgb="FFE06666"/>
        <bgColor rgb="FFE06666"/>
      </patternFill>
    </fill>
    <fill>
      <patternFill patternType="solid">
        <fgColor rgb="FFFCE5CD"/>
        <bgColor rgb="FFFCE5CD"/>
      </patternFill>
    </fill>
    <fill>
      <patternFill patternType="solid">
        <fgColor rgb="FFFFFFFF"/>
        <bgColor rgb="FFFFFFFF"/>
      </patternFill>
    </fill>
    <fill>
      <patternFill patternType="solid">
        <fgColor rgb="FFFFE6DD"/>
        <bgColor rgb="FFFFE6DD"/>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center" readingOrder="0" shrinkToFit="0" vertical="center" wrapText="1"/>
    </xf>
    <xf borderId="0" fillId="3" fontId="2" numFmtId="164" xfId="0" applyAlignment="1" applyFill="1" applyFont="1" applyNumberFormat="1">
      <alignment horizontal="center" shrinkToFit="0" vertical="center" wrapText="1"/>
    </xf>
    <xf borderId="0" fillId="3" fontId="2" numFmtId="0" xfId="0" applyAlignment="1" applyFill="1" applyFont="1">
      <alignment horizontal="center" shrinkToFit="0" vertical="center" wrapText="1"/>
    </xf>
    <xf borderId="0" fillId="3" fontId="3" numFmtId="0" xfId="0" applyAlignment="1" applyFill="1" applyFont="1">
      <alignment horizontal="left" shrinkToFit="0" vertical="center" wrapText="0"/>
    </xf>
    <xf borderId="0" fillId="4" fontId="2" numFmtId="164" xfId="0" applyAlignment="1" applyFill="1" applyFont="1" applyNumberFormat="1">
      <alignment horizontal="center" readingOrder="0" shrinkToFit="0" vertical="center" wrapText="1"/>
    </xf>
    <xf borderId="0" fillId="4" fontId="2" numFmtId="0" xfId="0" applyAlignment="1" applyFill="1" applyFont="1">
      <alignment horizontal="center" shrinkToFit="0" vertical="center" wrapText="1"/>
    </xf>
    <xf borderId="0" fillId="4" fontId="4" numFmtId="0" xfId="0" applyAlignment="1" applyFill="1" applyFont="1">
      <alignment horizontal="center" shrinkToFit="0" vertical="center" wrapText="1"/>
    </xf>
    <xf borderId="0" fillId="4" fontId="2" numFmtId="0" xfId="0" applyAlignment="1" applyFill="1" applyFont="1">
      <alignment horizontal="center" readingOrder="0" shrinkToFit="0" vertical="center" wrapText="1"/>
    </xf>
    <xf borderId="0" fillId="4" fontId="2" numFmtId="164" xfId="0" applyAlignment="1" applyFill="1" applyFont="1" applyNumberFormat="1">
      <alignment horizontal="center" shrinkToFit="0" vertical="center" wrapText="1"/>
    </xf>
    <xf borderId="0" fillId="5" fontId="2" numFmtId="164" xfId="0" applyAlignment="1" applyFill="1" applyFont="1" applyNumberFormat="1">
      <alignment horizontal="center" shrinkToFit="0" vertical="center" wrapText="1"/>
    </xf>
    <xf borderId="0" fillId="5" fontId="2" numFmtId="0" xfId="0" applyAlignment="1" applyFill="1" applyFont="1">
      <alignment horizontal="center" readingOrder="0" shrinkToFit="0" vertical="center" wrapText="1"/>
    </xf>
    <xf borderId="0" fillId="5" fontId="4" numFmtId="0" xfId="0" applyAlignment="1" applyFill="1" applyFont="1">
      <alignment horizontal="center" readingOrder="0" shrinkToFit="0" vertical="center" wrapText="1"/>
    </xf>
    <xf borderId="0" fillId="5" fontId="2" numFmtId="0" xfId="0" applyAlignment="1" applyFill="1" applyFont="1">
      <alignment horizontal="center" shrinkToFit="0" vertical="center" wrapText="1"/>
    </xf>
    <xf borderId="0" fillId="6" fontId="2" numFmtId="0" xfId="0" applyAlignment="1" applyFill="1" applyFont="1">
      <alignment horizontal="center" readingOrder="0" shrinkToFit="0" vertical="center" wrapText="1"/>
    </xf>
    <xf borderId="0" fillId="6" fontId="4" numFmtId="0" xfId="0" applyAlignment="1" applyFill="1" applyFont="1">
      <alignment horizontal="center" readingOrder="0" shrinkToFit="0" vertical="center" wrapText="1"/>
    </xf>
    <xf borderId="0" fillId="6" fontId="2" numFmtId="0" xfId="0" applyAlignment="1" applyFill="1" applyFont="1">
      <alignment horizontal="center" shrinkToFit="0" vertical="center" wrapText="1"/>
    </xf>
    <xf borderId="0" fillId="5" fontId="4" numFmtId="0" xfId="0" applyAlignment="1" applyFill="1" applyFont="1">
      <alignment horizontal="center" readingOrder="0" shrinkToFit="0" vertical="center" wrapText="1"/>
    </xf>
    <xf borderId="0" fillId="5" fontId="5" numFmtId="0" xfId="0" applyAlignment="1" applyFill="1" applyFont="1">
      <alignment vertical="center"/>
    </xf>
    <xf borderId="0" fillId="4" fontId="4" numFmtId="0" xfId="0" applyAlignment="1" applyFill="1" applyFont="1">
      <alignment horizontal="center" readingOrder="0" shrinkToFit="0" vertical="center" wrapText="1"/>
    </xf>
    <xf borderId="0" fillId="4" fontId="4" numFmtId="0" xfId="0" applyAlignment="1" applyFill="1" applyFont="1">
      <alignment horizontal="center" readingOrder="0" shrinkToFit="0" vertical="center" wrapText="1"/>
    </xf>
    <xf borderId="0" fillId="5" fontId="4" numFmtId="0" xfId="0" applyAlignment="1" applyFill="1" applyFont="1">
      <alignment horizontal="center" shrinkToFit="0" vertical="center" wrapText="1"/>
    </xf>
    <xf borderId="0" fillId="6" fontId="6" numFmtId="0" xfId="0" applyAlignment="1" applyFill="1" applyFont="1">
      <alignment horizontal="center" readingOrder="0" shrinkToFit="0" vertical="center" wrapText="1"/>
    </xf>
    <xf borderId="0" fillId="6" fontId="4" numFmtId="0" xfId="0" applyAlignment="1" applyFill="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Sheet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onymous" id="{b008e2d6-92be-4906-bc80-2a17eaa8b155}" providerId="google-sheets"/>
</x18tc:personList>
</file>

<file path=xl/tables/table1.xml><?xml version="1.0" encoding="utf-8"?>
<table xmlns="http://schemas.openxmlformats.org/spreadsheetml/2006/main" ref="A1:H14" displayName="Table_1" name="Table_1" id="1">
  <tableColumns count="8">
    <tableColumn name="Time Stamp (EST)" id="1"/>
    <tableColumn name="Length (mins)" id="2"/>
    <tableColumn name="Title" id="3"/>
    <tableColumn name="Facilitator" id="4"/>
    <tableColumn name="Description / Context" id="5"/>
    <tableColumn name="Content" id="6"/>
    <tableColumn name="Facilitator Notes" id="7"/>
    <tableColumn name="Copy/Paste" id="8"/>
  </tableColumns>
  <tableStyleInfo name="Sheet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0" dT="2026-05-16T20:05:06.00" personId="{b008e2d6-92be-4906-bc80-2a17eaa8b155}" id="{4d56f616-4693-42fe-9af0-5afaba9b5243}" done="0">
    <x18tc:text xml:space="preserve">In the ones with breakout rooms, I would try to be sure it says how is the set up. Sometimes before closing will give a 60 second warning, so it end up being 4 minutes for example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google.com/search?q=5+minute+timer" TargetMode="External"/><Relationship Id="rId5" Type="http://schemas.openxmlformats.org/officeDocument/2006/relationships/drawing" Target="../drawings/drawing1.xml"/><Relationship Id="rId6" Type="http://schemas.openxmlformats.org/officeDocument/2006/relationships/vmlDrawing" Target="../drawings/vmlDrawing1.vml"/><Relationship Id="rId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4.38"/>
    <col customWidth="1" min="2" max="2" width="14.13"/>
    <col customWidth="1" min="3" max="3" width="21.13"/>
    <col customWidth="1" min="4" max="4" width="10.63"/>
    <col customWidth="1" min="5" max="5" width="45.75"/>
    <col customWidth="1" min="6" max="6" width="46.63"/>
    <col customWidth="1" min="7" max="7" width="43.88"/>
    <col customWidth="1" min="8" max="8" width="45.38"/>
  </cols>
  <sheetData>
    <row r="1" ht="15.75" customHeight="1">
      <c r="A1" s="1" t="s">
        <v>0</v>
      </c>
      <c r="B1" s="1" t="s">
        <v>1</v>
      </c>
      <c r="C1" s="1" t="s">
        <v>2</v>
      </c>
      <c r="D1" s="2" t="s">
        <v>3</v>
      </c>
      <c r="E1" s="1" t="s">
        <v>4</v>
      </c>
      <c r="F1" s="1" t="s">
        <v>5</v>
      </c>
      <c r="G1" s="1" t="s">
        <v>6</v>
      </c>
      <c r="H1" s="1" t="s">
        <v>7</v>
      </c>
    </row>
    <row r="2" ht="15.75" customHeight="1">
      <c r="A2" s="3"/>
      <c r="B2" s="4"/>
      <c r="C2" s="5" t="s">
        <v>8</v>
      </c>
      <c r="D2" s="5"/>
      <c r="E2" s="5"/>
      <c r="F2" s="5"/>
      <c r="G2" s="4"/>
      <c r="H2" s="4"/>
    </row>
    <row r="3" ht="75.75" customHeight="1">
      <c r="A3" s="6">
        <v>0.4895833333333333</v>
      </c>
      <c r="B3" s="7">
        <v>10.0</v>
      </c>
      <c r="C3" s="8" t="s">
        <v>9</v>
      </c>
      <c r="D3" s="9" t="s">
        <v>10</v>
      </c>
      <c r="E3" s="7" t="s">
        <v>11</v>
      </c>
      <c r="F3" s="7" t="s">
        <v>12</v>
      </c>
      <c r="G3" s="7"/>
      <c r="H3" s="7"/>
    </row>
    <row r="4">
      <c r="A4" s="10">
        <f t="shared" ref="A4:A13" si="1">A3+(B3/(24*60))</f>
        <v>0.4965277778</v>
      </c>
      <c r="B4" s="7">
        <v>5.0</v>
      </c>
      <c r="C4" s="8" t="s">
        <v>13</v>
      </c>
      <c r="D4" s="9" t="s">
        <v>14</v>
      </c>
      <c r="E4" s="9" t="s">
        <v>15</v>
      </c>
      <c r="F4" s="9" t="s">
        <v>16</v>
      </c>
      <c r="G4" s="7"/>
      <c r="H4" s="7" t="s">
        <v>17</v>
      </c>
    </row>
    <row r="5" ht="75.0" customHeight="1">
      <c r="A5" s="11">
        <f t="shared" si="1"/>
        <v>0.5</v>
      </c>
      <c r="B5" s="12">
        <v>3.0</v>
      </c>
      <c r="C5" s="13" t="s">
        <v>18</v>
      </c>
      <c r="D5" s="12" t="s">
        <v>14</v>
      </c>
      <c r="E5" s="12" t="s">
        <v>19</v>
      </c>
      <c r="F5" s="12" t="s">
        <v>20</v>
      </c>
      <c r="G5" s="14"/>
      <c r="H5" s="14"/>
    </row>
    <row r="6" ht="132.0" customHeight="1">
      <c r="A6" s="11">
        <f t="shared" si="1"/>
        <v>0.5020833333</v>
      </c>
      <c r="B6" s="15">
        <v>3.0</v>
      </c>
      <c r="C6" s="16" t="s">
        <v>21</v>
      </c>
      <c r="D6" s="15" t="s">
        <v>10</v>
      </c>
      <c r="E6" s="15" t="s">
        <v>22</v>
      </c>
      <c r="F6" s="15" t="s">
        <v>23</v>
      </c>
      <c r="G6" s="17"/>
      <c r="H6" s="15" t="s">
        <v>24</v>
      </c>
    </row>
    <row r="7" ht="255.75" customHeight="1">
      <c r="A7" s="11">
        <f t="shared" si="1"/>
        <v>0.5041666667</v>
      </c>
      <c r="B7" s="12">
        <v>4.0</v>
      </c>
      <c r="C7" s="13" t="s">
        <v>25</v>
      </c>
      <c r="D7" s="12" t="s">
        <v>14</v>
      </c>
      <c r="E7" s="12" t="s">
        <v>26</v>
      </c>
      <c r="F7" s="12" t="s">
        <v>27</v>
      </c>
      <c r="G7" s="14"/>
      <c r="H7" s="18"/>
    </row>
    <row r="8" ht="15.75" customHeight="1">
      <c r="A8" s="11">
        <f t="shared" si="1"/>
        <v>0.5069444444</v>
      </c>
      <c r="B8" s="15">
        <v>2.0</v>
      </c>
      <c r="C8" s="16" t="s">
        <v>28</v>
      </c>
      <c r="D8" s="15" t="s">
        <v>14</v>
      </c>
      <c r="E8" s="15" t="s">
        <v>29</v>
      </c>
      <c r="F8" s="15" t="s">
        <v>30</v>
      </c>
      <c r="G8" s="17"/>
      <c r="H8" s="17"/>
    </row>
    <row r="9" ht="15.75" customHeight="1">
      <c r="A9" s="11">
        <f t="shared" si="1"/>
        <v>0.5083333333</v>
      </c>
      <c r="B9" s="12">
        <v>2.0</v>
      </c>
      <c r="C9" s="13" t="s">
        <v>31</v>
      </c>
      <c r="D9" s="12" t="s">
        <v>14</v>
      </c>
      <c r="E9" s="13" t="s">
        <v>32</v>
      </c>
      <c r="F9" s="12" t="s">
        <v>33</v>
      </c>
      <c r="G9" s="19"/>
      <c r="H9" s="18"/>
    </row>
    <row r="10" ht="15.75" customHeight="1">
      <c r="A10" s="10">
        <f t="shared" si="1"/>
        <v>0.5097222222</v>
      </c>
      <c r="B10" s="9">
        <v>0.0</v>
      </c>
      <c r="C10" s="20" t="s">
        <v>34</v>
      </c>
      <c r="D10" s="9" t="s">
        <v>35</v>
      </c>
      <c r="E10" s="20" t="s">
        <v>36</v>
      </c>
      <c r="F10" s="9" t="s">
        <v>12</v>
      </c>
      <c r="G10" s="9" t="s">
        <v>37</v>
      </c>
      <c r="H10" s="21"/>
    </row>
    <row r="11">
      <c r="A11" s="11">
        <f t="shared" si="1"/>
        <v>0.5097222222</v>
      </c>
      <c r="B11" s="15">
        <v>2.0</v>
      </c>
      <c r="C11" s="16" t="s">
        <v>38</v>
      </c>
      <c r="D11" s="15" t="s">
        <v>39</v>
      </c>
      <c r="E11" s="15" t="s">
        <v>40</v>
      </c>
      <c r="F11" s="15" t="s">
        <v>41</v>
      </c>
      <c r="G11" s="15" t="s">
        <v>42</v>
      </c>
      <c r="H11" s="15" t="s">
        <v>43</v>
      </c>
    </row>
    <row r="12" ht="15.75" customHeight="1">
      <c r="A12" s="11">
        <f t="shared" si="1"/>
        <v>0.5111111111</v>
      </c>
      <c r="B12" s="15">
        <v>10.0</v>
      </c>
      <c r="C12" s="16" t="s">
        <v>44</v>
      </c>
      <c r="D12" s="15" t="s">
        <v>10</v>
      </c>
      <c r="E12" s="15" t="s">
        <v>45</v>
      </c>
      <c r="F12" s="15" t="s">
        <v>41</v>
      </c>
      <c r="G12" s="15" t="s">
        <v>46</v>
      </c>
      <c r="H12" s="15" t="s">
        <v>47</v>
      </c>
    </row>
    <row r="13" ht="15.75" customHeight="1">
      <c r="A13" s="11">
        <f t="shared" si="1"/>
        <v>0.5180555556</v>
      </c>
      <c r="B13" s="14">
        <v>4.0</v>
      </c>
      <c r="C13" s="22" t="s">
        <v>48</v>
      </c>
      <c r="D13" s="12"/>
      <c r="E13" s="15" t="s">
        <v>49</v>
      </c>
      <c r="F13" s="23" t="s">
        <v>50</v>
      </c>
      <c r="G13" s="14"/>
      <c r="H13" s="14"/>
    </row>
    <row r="14" ht="59.25" customHeight="1">
      <c r="A14" s="24" t="s">
        <v>51</v>
      </c>
      <c r="B14" s="17">
        <f>SUM(B3:B13)</f>
        <v>45</v>
      </c>
      <c r="C14" s="24"/>
      <c r="D14" s="17"/>
      <c r="E14" s="17"/>
      <c r="F14" s="17"/>
      <c r="G14" s="17"/>
      <c r="H14" s="17"/>
    </row>
  </sheetData>
  <hyperlinks>
    <hyperlink r:id="rId4" ref="F13"/>
  </hyperlinks>
  <drawing r:id="rId5"/>
  <legacyDrawing r:id="rId6"/>
  <tableParts count="1">
    <tablePart r:id="rId8"/>
  </tableParts>
</worksheet>
</file>