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5"/>
  </sheets>
  <definedNames/>
  <calcPr/>
</workbook>
</file>

<file path=xl/sharedStrings.xml><?xml version="1.0" encoding="utf-8"?>
<sst xmlns="http://schemas.openxmlformats.org/spreadsheetml/2006/main" count="61" uniqueCount="48">
  <si>
    <t>Time Stamp (EST)</t>
  </si>
  <si>
    <t>Length (mins)</t>
  </si>
  <si>
    <t>Title</t>
  </si>
  <si>
    <t>Facilitator</t>
  </si>
  <si>
    <t>Description / Context</t>
  </si>
  <si>
    <t>Content</t>
  </si>
  <si>
    <t>Facilitator Notes</t>
  </si>
  <si>
    <t>Copy/Paste</t>
  </si>
  <si>
    <t xml:space="preserve">RECORD + ENABLE LIVE TRANSCRIPT     RECORD + ENABLE LIVE TRANSCRIPT			     RECORD + ENABLE LIVE TRANSCRIPT			</t>
  </si>
  <si>
    <t>Welcome Back</t>
  </si>
  <si>
    <t>Fac1</t>
  </si>
  <si>
    <r>
      <rPr>
        <rFont val="Montserrat"/>
        <b/>
        <color theme="1"/>
        <sz val="11.0"/>
      </rPr>
      <t>FACILITATOR</t>
    </r>
    <r>
      <rPr>
        <rFont val="Montserrat"/>
        <color theme="1"/>
        <sz val="11.0"/>
      </rPr>
      <t>:
"Welcome back everyone! I hope you were able to take good care of your bodies.
In this next session, we're going to discuss how power affects facilitation and group discussions. This is important because being aware of the power dynamics in the room will allow us to be better and more just facilitators."</t>
    </r>
  </si>
  <si>
    <t>- Day 1 Session 2 Slide</t>
  </si>
  <si>
    <t>Concept: The Types of Power</t>
  </si>
  <si>
    <r>
      <rPr>
        <rFont val="Montserrat"/>
        <b/>
        <color theme="1"/>
        <sz val="11.0"/>
      </rPr>
      <t xml:space="preserve">FACILITATOR:
</t>
    </r>
    <r>
      <rPr>
        <rFont val="Montserrat"/>
        <color theme="1"/>
        <sz val="11.0"/>
      </rPr>
      <t xml:space="preserve">"First, let's talk about the two main types of power."
After </t>
    </r>
    <r>
      <rPr>
        <rFont val="Montserrat"/>
        <b/>
        <color theme="1"/>
        <sz val="11.0"/>
      </rPr>
      <t>FIRST</t>
    </r>
    <r>
      <rPr>
        <rFont val="Montserrat"/>
        <color theme="1"/>
        <sz val="11.0"/>
      </rPr>
      <t xml:space="preserve"> definition:
</t>
    </r>
    <r>
      <rPr>
        <rFont val="Montserrat"/>
        <b/>
        <color theme="1"/>
        <sz val="11.0"/>
      </rPr>
      <t>FACILITATOR</t>
    </r>
    <r>
      <rPr>
        <rFont val="Montserrat"/>
        <color theme="1"/>
        <sz val="11.0"/>
      </rPr>
      <t>:
"Let's see some examples in the chat. What kinds of titles or roles in the plant sciences grants us positional power?"</t>
    </r>
  </si>
  <si>
    <t xml:space="preserve">- Types of Power (Title)
- Types of Power (Formal)
- Types of Power (Informal)
</t>
  </si>
  <si>
    <t>Facilitator reads responses out loud as they come through the chat and validates participant responses.</t>
  </si>
  <si>
    <r>
      <rPr>
        <rFont val="Montserrat"/>
        <b/>
        <color theme="1"/>
        <sz val="11.0"/>
      </rPr>
      <t xml:space="preserve">Answer in the chat: </t>
    </r>
    <r>
      <rPr>
        <rFont val="Montserrat"/>
        <color theme="1"/>
        <sz val="11.0"/>
      </rPr>
      <t xml:space="preserve">
What kinds of titles or roles in the plant sciences grants us positional power?</t>
    </r>
  </si>
  <si>
    <t>Concept: Informal Power</t>
  </si>
  <si>
    <r>
      <rPr>
        <rFont val="Montserrat"/>
        <b/>
        <color theme="1"/>
        <sz val="11.0"/>
      </rPr>
      <t xml:space="preserve">FACILITATOR:
</t>
    </r>
    <r>
      <rPr>
        <rFont val="Montserrat"/>
        <color theme="1"/>
        <sz val="11.0"/>
      </rPr>
      <t>"We are all fairly familiar with how roles and positions give us power, but let's look a little more closely at the types of informal or social power."</t>
    </r>
  </si>
  <si>
    <t>- Informal (Social) Power Slide
- Expert Power Slide
- Cultural / Systemic Power Slide
- Referent Power Slide
- Collective Power Slide</t>
  </si>
  <si>
    <t>Facilitator reads definitions out loud and expands briefly on each one</t>
  </si>
  <si>
    <t>Activity: Large Group Discussion</t>
  </si>
  <si>
    <r>
      <rPr>
        <rFont val="Montserrat"/>
        <b/>
        <color theme="1"/>
        <sz val="11.0"/>
      </rPr>
      <t xml:space="preserve">FACILITATOR:
</t>
    </r>
    <r>
      <rPr>
        <rFont val="Montserrat"/>
        <color theme="1"/>
        <sz val="11.0"/>
      </rPr>
      <t>"Now we will discuss power as a group. Raise your Zoom hand to answer the question: What types of power differentials are likely to be present in the SI-MI mentoring course? How?"</t>
    </r>
  </si>
  <si>
    <t>- Power Discussion Slide</t>
  </si>
  <si>
    <r>
      <rPr>
        <rFont val="Montserrat"/>
        <b/>
        <color theme="1"/>
        <sz val="11.0"/>
      </rPr>
      <t xml:space="preserve">Raise your Zoom hand to answer: </t>
    </r>
    <r>
      <rPr>
        <rFont val="Montserrat"/>
        <color theme="1"/>
        <sz val="11.0"/>
      </rPr>
      <t xml:space="preserve">
What types of power differentials are likely to be present in the SI-MI mentoring course? How?</t>
    </r>
  </si>
  <si>
    <t>Concept: Relational Dynamics</t>
  </si>
  <si>
    <r>
      <rPr>
        <rFont val="Montserrat"/>
        <b/>
        <color theme="1"/>
        <sz val="11.0"/>
      </rPr>
      <t xml:space="preserve">
FACILITATOR:
</t>
    </r>
    <r>
      <rPr>
        <rFont val="Montserrat"/>
        <color theme="1"/>
        <sz val="11.0"/>
      </rPr>
      <t>"As the facilitator in the room, we are going to have certain types of power. In the virtual classroom there are several relational dynamics happening simultaneously."</t>
    </r>
  </si>
  <si>
    <t>- Relational Dynamics (Title) Slide</t>
  </si>
  <si>
    <r>
      <rPr>
        <rFont val="Montserrat"/>
        <b/>
        <color theme="1"/>
        <sz val="11.0"/>
      </rPr>
      <t>FACILITATOR</t>
    </r>
    <r>
      <rPr>
        <rFont val="Montserrat"/>
        <color theme="1"/>
        <sz val="11.0"/>
      </rPr>
      <t>:
"First, we have the relationship between the facilitator and the participants as a group. This can show up in the call and response: we have the power to ask a question that participants are then expected to answer. There is a vibe with how the participants respond to us, and vice versa."</t>
    </r>
  </si>
  <si>
    <t>- Relational Dynamics (Facilitator - Group) Slide</t>
  </si>
  <si>
    <r>
      <rPr>
        <rFont val="Montserrat"/>
        <b/>
        <color theme="1"/>
        <sz val="11.0"/>
      </rPr>
      <t>FACILITATOR</t>
    </r>
    <r>
      <rPr>
        <rFont val="Montserrat"/>
        <color theme="1"/>
        <sz val="11.0"/>
      </rPr>
      <t>:
"Then, we have the relationship between the facilitator and individual participants. This can show up in the trust we are able to build with individuals. Everyone has different personalities, and we might connect more with certain participants over others. Individuals may also respond better to our facilitation style than others. Informal power, such as differences in identity, can also manifest here."</t>
    </r>
  </si>
  <si>
    <t>- Relational Dynamics (Facilitator - Individual) Slide</t>
  </si>
  <si>
    <r>
      <rPr>
        <rFont val="Montserrat"/>
        <b/>
        <color theme="1"/>
        <sz val="11.0"/>
      </rPr>
      <t>FACILITATOR</t>
    </r>
    <r>
      <rPr>
        <rFont val="Montserrat"/>
        <color theme="1"/>
        <sz val="11.0"/>
      </rPr>
      <t>:
"Finally, we have the relationship between the participants themselves. This can show up in how they address one another and how they show up in breakout discussions. Identity and power also play a role here. On the surface it may seem like this is the dynamic we have the least influence over, but there are ways we can set up the participants for good relational dynamics with each other -- such as by setting ground rules."</t>
    </r>
  </si>
  <si>
    <t>- Relational Dynamics (Participant - Participant) Slide</t>
  </si>
  <si>
    <t>Activity: Introspection</t>
  </si>
  <si>
    <r>
      <rPr>
        <rFont val="Montserrat"/>
        <b/>
        <color theme="1"/>
        <sz val="11.0"/>
      </rPr>
      <t>FACILITATOR</t>
    </r>
    <r>
      <rPr>
        <rFont val="Montserrat"/>
        <color theme="1"/>
        <sz val="11.0"/>
      </rPr>
      <t>:
"Let's take a few minutes to journal a response to this prompt. You can do this on your computer, your phone, or with pen and paper."</t>
    </r>
  </si>
  <si>
    <t>- Introspection Slide</t>
  </si>
  <si>
    <t>Facilitator calls out when there is one minute left</t>
  </si>
  <si>
    <t>Take a few minutes to journal a response to the following prompt:
What privilege and power do I bring to this work? What biases do I bring? How might my position, authority, privilege, and power impact the group dynamic?</t>
  </si>
  <si>
    <t>Activity: Group Shareout</t>
  </si>
  <si>
    <r>
      <rPr>
        <rFont val="Montserrat"/>
        <b/>
        <color theme="1"/>
        <sz val="11.0"/>
      </rPr>
      <t>FACILITATOR</t>
    </r>
    <r>
      <rPr>
        <rFont val="Montserrat"/>
        <color theme="1"/>
        <sz val="11.0"/>
      </rPr>
      <t>:
"Okay, let's share what came up for us during this activity. What privileges or power do you recognize in yourself? And how could this power affect the group dynamic?."</t>
    </r>
  </si>
  <si>
    <t>- Group Shareout Slide</t>
  </si>
  <si>
    <r>
      <rPr>
        <rFont val="Montserrat"/>
        <b/>
        <color theme="1"/>
        <sz val="11.0"/>
      </rPr>
      <t>Raise your Zoom</t>
    </r>
    <r>
      <rPr>
        <rFont val="Montserrat"/>
        <color theme="1"/>
        <sz val="11.0"/>
      </rPr>
      <t xml:space="preserve"> hand to share what came up during your introspection</t>
    </r>
  </si>
  <si>
    <t xml:space="preserve">Break </t>
  </si>
  <si>
    <r>
      <rPr>
        <rFont val="Montserrat"/>
        <b/>
        <color theme="1"/>
        <sz val="11.0"/>
      </rPr>
      <t>FACILITATOR</t>
    </r>
    <r>
      <rPr>
        <rFont val="Montserrat"/>
        <color theme="1"/>
        <sz val="11.0"/>
      </rPr>
      <t>:
"We want to care for our bodies, so let's take our first break! Get a snack, stretch your legs, drink some water, whatever your body needs."</t>
    </r>
  </si>
  <si>
    <t>SHARE SCREEN</t>
  </si>
  <si>
    <t>Total Time (mins):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</si>
</sst>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ss am/pm"/>
  </numFmts>
  <fonts count="6">
    <font>
      <sz val="10.0"/>
      <color rgb="FF000000"/>
      <name val="Arial"/>
      <scheme val="minor"/>
    </font>
    <font>
      <b/>
      <sz val="11.0"/>
      <color rgb="FFFFFFFF"/>
      <name val="Montserrat"/>
    </font>
    <font>
      <sz val="11.0"/>
      <color theme="1"/>
      <name val="Montserrat"/>
    </font>
    <font>
      <b/>
      <sz val="18.0"/>
      <color rgb="FFFFFFFF"/>
      <name val="Montserrat"/>
    </font>
    <font>
      <b/>
      <sz val="11.0"/>
      <color theme="1"/>
      <name val="Montserrat"/>
    </font>
    <font>
      <u/>
      <sz val="11.0"/>
      <color rgb="FF0000FF"/>
      <name val="Montserrat"/>
    </font>
  </fonts>
  <fills count="6">
    <fill>
      <patternFill patternType="none"/>
    </fill>
    <fill>
      <patternFill patternType="lightGray"/>
    </fill>
    <fill>
      <patternFill patternType="solid">
        <fgColor rgb="FFF46524"/>
        <bgColor rgb="FFF46524"/>
      </patternFill>
    </fill>
    <fill>
      <patternFill patternType="solid">
        <fgColor rgb="FFE06666"/>
        <bgColor rgb="FFE06666"/>
      </patternFill>
    </fill>
    <fill>
      <patternFill patternType="solid">
        <fgColor rgb="FFFFFFFF"/>
        <bgColor rgb="FFFFFFFF"/>
      </patternFill>
    </fill>
    <fill>
      <patternFill patternType="solid">
        <fgColor rgb="FFFFE6DD"/>
        <bgColor rgb="FFFFE6DD"/>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ill="1" applyFont="1">
      <alignment horizontal="center" readingOrder="0" shrinkToFit="0" vertical="center" wrapText="1"/>
    </xf>
    <xf borderId="0" fillId="3" fontId="2" numFmtId="164" xfId="0" applyAlignment="1" applyFill="1" applyFont="1" applyNumberFormat="1">
      <alignment horizontal="center" shrinkToFit="0" vertical="center" wrapText="1"/>
    </xf>
    <xf borderId="0" fillId="3" fontId="2" numFmtId="0" xfId="0" applyAlignment="1" applyFill="1" applyFont="1">
      <alignment horizontal="center" shrinkToFit="0" vertical="center" wrapText="1"/>
    </xf>
    <xf borderId="0" fillId="3" fontId="3" numFmtId="0" xfId="0" applyAlignment="1" applyFill="1" applyFont="1">
      <alignment horizontal="left" shrinkToFit="0" vertical="center" wrapText="0"/>
    </xf>
    <xf borderId="0" fillId="4" fontId="2" numFmtId="164" xfId="0" applyAlignment="1" applyFill="1" applyFont="1" applyNumberFormat="1">
      <alignment horizontal="center" readingOrder="0" shrinkToFit="0" vertical="center" wrapText="1"/>
    </xf>
    <xf borderId="0" fillId="4" fontId="2" numFmtId="0" xfId="0" applyAlignment="1" applyFill="1" applyFont="1">
      <alignment horizontal="center" readingOrder="0" shrinkToFit="0" vertical="center" wrapText="1"/>
    </xf>
    <xf borderId="0" fillId="4" fontId="4" numFmtId="0" xfId="0" applyAlignment="1" applyFill="1" applyFont="1">
      <alignment horizontal="center" readingOrder="0" shrinkToFit="0" vertical="center" wrapText="1"/>
    </xf>
    <xf borderId="0" fillId="4" fontId="2" numFmtId="0" xfId="0" applyAlignment="1" applyFill="1" applyFont="1">
      <alignment horizontal="center" shrinkToFit="0" vertical="center" wrapText="1"/>
    </xf>
    <xf borderId="0" fillId="4" fontId="2" numFmtId="164" xfId="0" applyAlignment="1" applyFill="1" applyFont="1" applyNumberFormat="1">
      <alignment horizontal="center" shrinkToFit="0" vertical="center" wrapText="1"/>
    </xf>
    <xf borderId="0" fillId="5" fontId="2" numFmtId="0" xfId="0" applyAlignment="1" applyFill="1" applyFont="1">
      <alignment horizontal="center" readingOrder="0" shrinkToFit="0" vertical="center" wrapText="1"/>
    </xf>
    <xf borderId="0" fillId="5" fontId="4" numFmtId="0" xfId="0" applyAlignment="1" applyFill="1" applyFont="1">
      <alignment horizontal="center" readingOrder="0" shrinkToFit="0" vertical="center" wrapText="1"/>
    </xf>
    <xf borderId="0" fillId="4" fontId="4" numFmtId="0" xfId="0" applyAlignment="1" applyFill="1" applyFont="1">
      <alignment horizontal="center" readingOrder="0" shrinkToFit="0" vertical="center" wrapText="1"/>
    </xf>
    <xf borderId="0" fillId="5" fontId="2" numFmtId="0" xfId="0" applyAlignment="1" applyFill="1" applyFont="1">
      <alignment horizontal="center" shrinkToFit="0" vertical="center" wrapText="1"/>
    </xf>
    <xf borderId="0" fillId="4" fontId="4" numFmtId="0" xfId="0" applyAlignment="1" applyFill="1" applyFont="1">
      <alignment horizontal="center" shrinkToFit="0" vertical="center" wrapText="1"/>
    </xf>
    <xf borderId="0" fillId="5" fontId="5" numFmtId="0" xfId="0" applyAlignment="1" applyFill="1" applyFont="1">
      <alignment horizontal="center" readingOrder="0" shrinkToFit="0" vertical="center" wrapText="1"/>
    </xf>
    <xf borderId="0" fillId="5" fontId="4" numFmtId="0" xfId="0" applyAlignment="1" applyFill="1" applyFont="1">
      <alignment horizontal="center" shrinkToFit="0" vertical="center" wrapText="1"/>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Sheet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4" displayName="Table_1" name="Table_1" id="1">
  <tableColumns count="8">
    <tableColumn name="Time Stamp (EST)" id="1"/>
    <tableColumn name="Length (mins)" id="2"/>
    <tableColumn name="Title" id="3"/>
    <tableColumn name="Facilitator" id="4"/>
    <tableColumn name="Description / Context" id="5"/>
    <tableColumn name="Content" id="6"/>
    <tableColumn name="Facilitator Notes" id="7"/>
    <tableColumn name="Copy/Paste" id="8"/>
  </tableColumns>
  <tableStyleInfo name="Sheet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5+minute+timer"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4.38"/>
    <col customWidth="1" min="2" max="2" width="14.13"/>
    <col customWidth="1" min="3" max="3" width="21.13"/>
    <col customWidth="1" min="4" max="4" width="10.63"/>
    <col customWidth="1" min="5" max="5" width="45.75"/>
    <col customWidth="1" min="6" max="6" width="46.63"/>
    <col customWidth="1" min="7" max="7" width="43.88"/>
    <col customWidth="1" min="8" max="8" width="45.38"/>
  </cols>
  <sheetData>
    <row r="1" ht="15.75" customHeight="1">
      <c r="A1" s="1" t="s">
        <v>0</v>
      </c>
      <c r="B1" s="1" t="s">
        <v>1</v>
      </c>
      <c r="C1" s="1" t="s">
        <v>2</v>
      </c>
      <c r="D1" s="2" t="s">
        <v>3</v>
      </c>
      <c r="E1" s="1" t="s">
        <v>4</v>
      </c>
      <c r="F1" s="1" t="s">
        <v>5</v>
      </c>
      <c r="G1" s="1" t="s">
        <v>6</v>
      </c>
      <c r="H1" s="1" t="s">
        <v>7</v>
      </c>
    </row>
    <row r="2" ht="15.75" customHeight="1">
      <c r="A2" s="3"/>
      <c r="B2" s="4"/>
      <c r="C2" s="5" t="s">
        <v>8</v>
      </c>
      <c r="D2" s="5"/>
      <c r="E2" s="5"/>
      <c r="F2" s="5"/>
      <c r="G2" s="4"/>
      <c r="H2" s="4"/>
    </row>
    <row r="3">
      <c r="A3" s="6">
        <v>0.5625</v>
      </c>
      <c r="B3" s="7">
        <v>1.0</v>
      </c>
      <c r="C3" s="8" t="s">
        <v>9</v>
      </c>
      <c r="D3" s="7" t="s">
        <v>10</v>
      </c>
      <c r="E3" s="7" t="s">
        <v>11</v>
      </c>
      <c r="F3" s="7" t="s">
        <v>12</v>
      </c>
      <c r="G3" s="9"/>
      <c r="H3" s="9"/>
    </row>
    <row r="4">
      <c r="A4" s="10">
        <f t="shared" ref="A4:A13" si="1">A3+(B3/(24*60))</f>
        <v>0.5631944444</v>
      </c>
      <c r="B4" s="11">
        <v>3.0</v>
      </c>
      <c r="C4" s="12" t="s">
        <v>13</v>
      </c>
      <c r="D4" s="11" t="s">
        <v>10</v>
      </c>
      <c r="E4" s="11" t="s">
        <v>14</v>
      </c>
      <c r="F4" s="11" t="s">
        <v>15</v>
      </c>
      <c r="G4" s="11" t="s">
        <v>16</v>
      </c>
      <c r="H4" s="11" t="s">
        <v>17</v>
      </c>
    </row>
    <row r="5" ht="255.75" customHeight="1">
      <c r="A5" s="10">
        <f t="shared" si="1"/>
        <v>0.5652777778</v>
      </c>
      <c r="B5" s="7">
        <v>5.0</v>
      </c>
      <c r="C5" s="12" t="s">
        <v>18</v>
      </c>
      <c r="D5" s="7" t="s">
        <v>10</v>
      </c>
      <c r="E5" s="7" t="s">
        <v>19</v>
      </c>
      <c r="F5" s="11" t="s">
        <v>20</v>
      </c>
      <c r="G5" s="7" t="s">
        <v>21</v>
      </c>
      <c r="H5" s="13"/>
    </row>
    <row r="6" ht="15.75" customHeight="1">
      <c r="A6" s="10">
        <f t="shared" si="1"/>
        <v>0.56875</v>
      </c>
      <c r="B6" s="11">
        <v>10.0</v>
      </c>
      <c r="C6" s="12" t="s">
        <v>22</v>
      </c>
      <c r="D6" s="11" t="s">
        <v>10</v>
      </c>
      <c r="E6" s="11" t="s">
        <v>23</v>
      </c>
      <c r="F6" s="7" t="s">
        <v>24</v>
      </c>
      <c r="G6" s="14"/>
      <c r="H6" s="11" t="s">
        <v>25</v>
      </c>
    </row>
    <row r="7">
      <c r="A7" s="10">
        <f t="shared" si="1"/>
        <v>0.5756944444</v>
      </c>
      <c r="B7" s="11">
        <v>2.0</v>
      </c>
      <c r="C7" s="12" t="s">
        <v>26</v>
      </c>
      <c r="D7" s="11" t="s">
        <v>10</v>
      </c>
      <c r="E7" s="11" t="s">
        <v>27</v>
      </c>
      <c r="F7" s="11" t="s">
        <v>28</v>
      </c>
      <c r="G7" s="11"/>
      <c r="H7" s="11"/>
    </row>
    <row r="8" ht="15.75" customHeight="1">
      <c r="A8" s="10">
        <f t="shared" si="1"/>
        <v>0.5770833333</v>
      </c>
      <c r="B8" s="11">
        <v>2.0</v>
      </c>
      <c r="C8" s="12" t="s">
        <v>26</v>
      </c>
      <c r="D8" s="11" t="s">
        <v>10</v>
      </c>
      <c r="E8" s="11" t="s">
        <v>29</v>
      </c>
      <c r="F8" s="11" t="s">
        <v>30</v>
      </c>
      <c r="G8" s="11"/>
      <c r="H8" s="11"/>
    </row>
    <row r="9" ht="15.75" customHeight="1">
      <c r="A9" s="10">
        <f t="shared" si="1"/>
        <v>0.5784722222</v>
      </c>
      <c r="B9" s="11">
        <v>2.0</v>
      </c>
      <c r="C9" s="12" t="s">
        <v>26</v>
      </c>
      <c r="D9" s="11" t="s">
        <v>10</v>
      </c>
      <c r="E9" s="11" t="s">
        <v>31</v>
      </c>
      <c r="F9" s="11" t="s">
        <v>32</v>
      </c>
      <c r="G9" s="11"/>
      <c r="H9" s="11"/>
    </row>
    <row r="10" ht="15.75" customHeight="1">
      <c r="A10" s="10">
        <f t="shared" si="1"/>
        <v>0.5798611111</v>
      </c>
      <c r="B10" s="11">
        <v>2.0</v>
      </c>
      <c r="C10" s="12" t="s">
        <v>26</v>
      </c>
      <c r="D10" s="11" t="s">
        <v>10</v>
      </c>
      <c r="E10" s="11" t="s">
        <v>33</v>
      </c>
      <c r="F10" s="11" t="s">
        <v>34</v>
      </c>
      <c r="G10" s="11"/>
      <c r="H10" s="11"/>
    </row>
    <row r="11" ht="15.75" customHeight="1">
      <c r="A11" s="10">
        <f t="shared" si="1"/>
        <v>0.58125</v>
      </c>
      <c r="B11" s="11">
        <v>5.0</v>
      </c>
      <c r="C11" s="12" t="s">
        <v>35</v>
      </c>
      <c r="D11" s="11" t="s">
        <v>10</v>
      </c>
      <c r="E11" s="11" t="s">
        <v>36</v>
      </c>
      <c r="F11" s="11" t="s">
        <v>37</v>
      </c>
      <c r="G11" s="11" t="s">
        <v>38</v>
      </c>
      <c r="H11" s="11" t="s">
        <v>39</v>
      </c>
    </row>
    <row r="12" ht="15.75" customHeight="1">
      <c r="A12" s="10">
        <f t="shared" si="1"/>
        <v>0.5847222222</v>
      </c>
      <c r="B12" s="11">
        <v>8.0</v>
      </c>
      <c r="C12" s="12" t="s">
        <v>40</v>
      </c>
      <c r="D12" s="11" t="s">
        <v>10</v>
      </c>
      <c r="E12" s="11" t="s">
        <v>41</v>
      </c>
      <c r="F12" s="11" t="s">
        <v>42</v>
      </c>
      <c r="G12" s="11"/>
      <c r="H12" s="11" t="s">
        <v>43</v>
      </c>
    </row>
    <row r="13" ht="15.75" customHeight="1">
      <c r="A13" s="10">
        <f t="shared" si="1"/>
        <v>0.5902777778</v>
      </c>
      <c r="B13" s="7">
        <v>5.0</v>
      </c>
      <c r="C13" s="15" t="s">
        <v>44</v>
      </c>
      <c r="D13" s="11" t="s">
        <v>10</v>
      </c>
      <c r="E13" s="11" t="s">
        <v>45</v>
      </c>
      <c r="F13" s="16" t="s">
        <v>46</v>
      </c>
      <c r="G13" s="9"/>
      <c r="H13" s="9"/>
    </row>
    <row r="14" ht="59.25" customHeight="1">
      <c r="A14" s="17" t="s">
        <v>47</v>
      </c>
      <c r="B14" s="14">
        <f>SUM(B3:B13)</f>
        <v>45</v>
      </c>
      <c r="C14" s="17"/>
      <c r="D14" s="14"/>
      <c r="E14" s="14"/>
      <c r="F14" s="14"/>
      <c r="G14" s="14"/>
      <c r="H14" s="14"/>
    </row>
  </sheetData>
  <hyperlinks>
    <hyperlink r:id="rId1" ref="F13"/>
  </hyperlinks>
  <drawing r:id="rId2"/>
  <tableParts count="1">
    <tablePart r:id="rId4"/>
  </tableParts>
</worksheet>
</file>